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75de9baa28f32/Máy tính/"/>
    </mc:Choice>
  </mc:AlternateContent>
  <xr:revisionPtr revIDLastSave="2" documentId="8_{7CE5DE05-19EB-484A-9272-1D9CFBD182DB}" xr6:coauthVersionLast="47" xr6:coauthVersionMax="47" xr10:uidLastSave="{021CEF18-F2F2-4D66-8824-5C313AC655F8}"/>
  <bookViews>
    <workbookView xWindow="-108" yWindow="-108" windowWidth="23256" windowHeight="12456" xr2:uid="{4FE78D82-9F18-4F04-99DB-24E87CEE862F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<sst xmlns="http://schemas.openxmlformats.org/spreadsheetml/2006/main" count="33" uniqueCount="27">
  <si>
    <t>student_id</t>
  </si>
  <si>
    <t>name</t>
  </si>
  <si>
    <t>title</t>
  </si>
  <si>
    <t>B2504887</t>
  </si>
  <si>
    <t>Vu Anh Nguyen</t>
  </si>
  <si>
    <t>Database &amp; SQL</t>
  </si>
  <si>
    <t>B2504888</t>
  </si>
  <si>
    <t>Excel Analytics</t>
  </si>
  <si>
    <t>B2504870</t>
  </si>
  <si>
    <t>Ong Phan My Duyen</t>
  </si>
  <si>
    <t>GitHub Collaboration</t>
  </si>
  <si>
    <t>B2504898</t>
  </si>
  <si>
    <t>Nguyen Thi Ngoc Tram</t>
  </si>
  <si>
    <t>Network Mapping</t>
  </si>
  <si>
    <t>B2504903</t>
  </si>
  <si>
    <t>Security &amp; Digital Health</t>
  </si>
  <si>
    <t>deadline</t>
  </si>
  <si>
    <t>status</t>
  </si>
  <si>
    <t>done</t>
  </si>
  <si>
    <t>late</t>
  </si>
  <si>
    <t>Grand Total</t>
  </si>
  <si>
    <t>🔍 Input Student ID</t>
  </si>
  <si>
    <t>👤 Search Result</t>
  </si>
  <si>
    <t>Task Status</t>
  </si>
  <si>
    <t>Total Count</t>
  </si>
  <si>
    <t>Ly Nhat Vy(1)</t>
  </si>
  <si>
    <t>Le Nguyen Ngoc Nhi(2)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</si>
</sst>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0" xfId="0" applyNumberFormat="1"/>
    <xf numFmtId="0" fontId="2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[02_Excel_Analytics_Nhi.xlsx]Sheet1!PivotTable2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Completion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15-4680-8767-4A923254EB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15-4680-8767-4A923254EBF2}"/>
              </c:ext>
            </c:extLst>
          </c:dPt>
          <c:cat>
            <c:strRef>
              <c:f>Sheet1!$J$2:$J$4</c:f>
              <c:strCache>
                <c:ptCount val="2"/>
                <c:pt idx="0">
                  <c:v>done</c:v>
                </c:pt>
                <c:pt idx="1">
                  <c:v>late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15-4680-8767-4A923254E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1057275</xdr:colOff>
      <xdr:row>5</xdr:row>
      <xdr:rowOff>9525</xdr:rowOff>
    </xdr:from>
    <xdr:to>
      <xdr:col>11</xdr:col>
      <xdr:colOff>1123949</xdr:colOff>
      <xdr:row>19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D8E9542-C3D3-45CC-B334-0176E295C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" refreshedDate="46115.072528124998" createdVersion="8" refreshedVersion="8" minRefreshableVersion="3" recordCount="5" xr:uid="{71A0A4E7-D335-42FC-8485-94642F93978D}">
  <cacheSource type="worksheet">
    <worksheetSource name="Table1"/>
  </cacheSource>
  <cacheFields count="5">
    <cacheField name="student_id" numFmtId="0">
      <sharedItems/>
    </cacheField>
    <cacheField name="name" numFmtId="0">
      <sharedItems count="5">
        <s v="Vu Anh Nguyen"/>
        <s v="Le Nguyen Ngoc Nhi"/>
        <s v="Ong Phan My Duyen"/>
        <s v="Nguyen Thi Ngoc Tram"/>
        <s v="Ly Nhat Vy"/>
      </sharedItems>
    </cacheField>
    <cacheField name="title" numFmtId="0">
      <sharedItems/>
    </cacheField>
    <cacheField name="deadline" numFmtId="14">
      <sharedItems containsSemiMixedTypes="0" containsNonDate="0" containsDate="1" containsString="0" minDate="2026-03-22T00:00:00" maxDate="2026-04-05T00:00:00"/>
    </cacheField>
    <cacheField name="status" numFmtId="0">
      <sharedItems count="2">
        <s v="done"/>
        <s v="late"/>
      </sharedItems>
    </cacheField>
  </cacheFields>
  <extLst>
    <ext xmlns:x14="http://schemas.microsoft.com/office/spreadsheetml/2009/9/main" uri="{725AE2AE-9491-48be-B2B4-4EB974FC3084}">
      <x14:pivotCacheDefinition pivotCacheId="6061593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B2504887"/>
    <x v="0"/>
    <s v="Database &amp; SQL"/>
    <d v="2026-03-25T00:00:00"/>
    <x v="0"/>
  </r>
  <r>
    <s v="B2504888"/>
    <x v="1"/>
    <s v="Excel Analytics"/>
    <d v="2026-04-01T00:00:00"/>
    <x v="1"/>
  </r>
  <r>
    <s v="B2504870"/>
    <x v="2"/>
    <s v="GitHub Collaboration"/>
    <d v="2026-03-22T00:00:00"/>
    <x v="0"/>
  </r>
  <r>
    <s v="B2504898"/>
    <x v="3"/>
    <s v="Network Mapping"/>
    <d v="2026-03-27T00:00:00"/>
    <x v="1"/>
  </r>
  <r>
    <s v="B2504903"/>
    <x v="4"/>
    <s v="Security &amp; Digital Health"/>
    <d v="2026-04-04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13176-DAC8-4CAB-87BA-9A6563BC736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Task Status">
  <location ref="J1:K4" firstHeaderRow="1" firstDataRow="1" firstDataCol="1"/>
  <pivotFields count="5">
    <pivotField dataField="1" showAll="0"/>
    <pivotField showAll="0"/>
    <pivotField showAll="0"/>
    <pivotField numFmtId="14" showAll="0"/>
    <pivotField axis="axisRow" showAll="0" sortType="ascending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Total Count" fld="0" subtotal="count" baseField="4" baseItem="0"/>
  </dataFields>
  <chartFormats count="3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8D894-40E8-4CDD-9723-C3C420B6E247}" name="Table1" displayName="Table1" ref="A1:E6" totalsRowShown="0" headerRowDxfId="7" tableBorderDxfId="6">
  <autoFilter ref="A1:E6" xr:uid="{4138D894-40E8-4CDD-9723-C3C420B6E247}"/>
  <tableColumns count="5">
    <tableColumn id="1" xr3:uid="{781D57D3-A879-434D-AC82-163C29DD4B3B}" name="student_id" dataDxfId="5"/>
    <tableColumn id="2" xr3:uid="{EDC5B959-497A-4177-B0D6-7673EB346471}" name="name" dataDxfId="4"/>
    <tableColumn id="3" xr3:uid="{01E2AD76-1AA8-487D-BA1F-18B75A85AEA8}" name="title" dataDxfId="3"/>
    <tableColumn id="4" xr3:uid="{F6C61CA4-598C-4634-95CA-F434E6D2F4D6}" name="deadline" dataDxfId="2"/>
    <tableColumn id="5" xr3:uid="{B6E812F7-2FC8-4319-892D-B4FFC80F0EA9}" name="statu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DE45FB-BE36-4A73-AF7F-4BF259DFFA4C}" name="Table5" displayName="Table5" ref="G1:H2" totalsRowShown="0">
  <autoFilter ref="G1:H2" xr:uid="{98DE45FB-BE36-4A73-AF7F-4BF259DFFA4C}"/>
  <tableColumns count="2">
    <tableColumn id="1" xr3:uid="{E06D32A0-7E52-4C87-A8E6-5F4E221DA044}" name="🔍 Input Student ID"/>
    <tableColumn id="2" xr3:uid="{84A184EC-2ECF-4000-8A09-E2AF53783549}" name="👤 Search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2E73-62CE-444C-9FED-F1F32C1CA63A}">
  <dimension ref="A1:K6"/>
  <sheetViews>
    <sheetView showGridLines="0" tabSelected="1" zoomScale="89" workbookViewId="0">
      <selection activeCell="B3" sqref="B3"/>
    </sheetView>
  </sheetViews>
  <sheetFormatPr defaultRowHeight="13.8" x14ac:dyDescent="0.25"/>
  <cols>
    <col min="1" max="3" width="21.3984375" customWidth="1"/>
    <col min="4" max="4" width="13.09765625" customWidth="1"/>
    <col min="5" max="5" width="12.09765625" customWidth="1"/>
    <col min="7" max="7" width="25.09765625" customWidth="1"/>
    <col min="8" max="8" width="23.296875" customWidth="1"/>
    <col min="10" max="10" width="13.3984375" bestFit="1" customWidth="1"/>
    <col min="11" max="11" width="11.3984375" bestFit="1" customWidth="1"/>
    <col min="12" max="12" width="32.296875" customWidth="1"/>
    <col min="13" max="13" width="9.09765625" customWidth="1"/>
    <col min="17" max="17" width="15.59765625" customWidth="1"/>
    <col min="18" max="18" width="18.59765625" customWidth="1"/>
  </cols>
  <sheetData>
    <row r="1" spans="1:11" x14ac:dyDescent="0.25">
      <c r="A1" s="6" t="s">
        <v>0</v>
      </c>
      <c r="B1" s="1" t="s">
        <v>1</v>
      </c>
      <c r="C1" s="1" t="s">
        <v>2</v>
      </c>
      <c r="D1" s="3" t="s">
        <v>16</v>
      </c>
      <c r="E1" s="3" t="s">
        <v>17</v>
      </c>
      <c r="G1" t="s">
        <v>21</v>
      </c>
      <c r="H1" t="s">
        <v>22</v>
      </c>
      <c r="J1" s="8" t="s">
        <v>23</v>
      </c>
      <c r="K1" t="s">
        <v>24</v>
      </c>
    </row>
    <row r="2" spans="1:11" x14ac:dyDescent="0.25">
      <c r="A2" s="7" t="s">
        <v>3</v>
      </c>
      <c r="B2" s="2" t="s">
        <v>4</v>
      </c>
      <c r="C2" s="2" t="s">
        <v>5</v>
      </c>
      <c r="D2" s="4">
        <v>46106</v>
      </c>
      <c r="E2" s="5" t="s">
        <v>18</v>
      </c>
      <c r="G2" t="s">
        <v>11</v>
      </c>
      <c r="H2" t="str">
        <f>VLOOKUP(G2, $A$2:$B6, 2, 0)</f>
        <v>Nguyen Thi Ngoc Tram</v>
      </c>
      <c r="J2" s="9" t="s">
        <v>18</v>
      </c>
      <c r="K2">
        <v>3</v>
      </c>
    </row>
    <row r="3" spans="1:11" ht="27.6" x14ac:dyDescent="0.25">
      <c r="A3" s="7" t="s">
        <v>6</v>
      </c>
      <c r="B3" s="2" t="s">
        <v>26</v>
      </c>
      <c r="C3" s="2" t="s">
        <v>7</v>
      </c>
      <c r="D3" s="4">
        <v>46113</v>
      </c>
      <c r="E3" s="5" t="s">
        <v>19</v>
      </c>
      <c r="J3" s="9" t="s">
        <v>19</v>
      </c>
      <c r="K3">
        <v>2</v>
      </c>
    </row>
    <row r="4" spans="1:11" x14ac:dyDescent="0.25">
      <c r="A4" s="7" t="s">
        <v>8</v>
      </c>
      <c r="B4" s="2" t="s">
        <v>9</v>
      </c>
      <c r="C4" s="2" t="s">
        <v>10</v>
      </c>
      <c r="D4" s="4">
        <v>46103</v>
      </c>
      <c r="E4" s="5" t="s">
        <v>18</v>
      </c>
      <c r="J4" s="9" t="s">
        <v>20</v>
      </c>
      <c r="K4">
        <v>5</v>
      </c>
    </row>
    <row r="5" spans="1:11" x14ac:dyDescent="0.25">
      <c r="A5" s="7" t="s">
        <v>11</v>
      </c>
      <c r="B5" s="2" t="s">
        <v>12</v>
      </c>
      <c r="C5" s="2" t="s">
        <v>13</v>
      </c>
      <c r="D5" s="4">
        <v>46108</v>
      </c>
      <c r="E5" s="5" t="s">
        <v>19</v>
      </c>
    </row>
    <row r="6" spans="1:11" ht="27.6" x14ac:dyDescent="0.25">
      <c r="A6" s="7" t="s">
        <v>14</v>
      </c>
      <c r="B6" s="2" t="s">
        <v>25</v>
      </c>
      <c r="C6" s="2" t="s">
        <v>15</v>
      </c>
      <c r="D6" s="4">
        <v>46116</v>
      </c>
      <c r="E6" s="5" t="s">
        <v>18</v>
      </c>
    </row>
  </sheetData>
  <conditionalFormatting sqref="D2:D6">
    <cfRule type="expression" dxfId="0" priority="1">
      <formula>AND(D2 &lt; TODAY(), E2 &lt;&gt; "done")</formula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nhi ngoc</cp:lastModifiedBy>
  <dcterms:created xsi:type="dcterms:W3CDTF">2026-04-02T18:29:26Z</dcterms:created>
  <dcterms:modified xsi:type="dcterms:W3CDTF">2026-04-05T09:18:58Z</dcterms:modified>
</cp:coreProperties>
</file>